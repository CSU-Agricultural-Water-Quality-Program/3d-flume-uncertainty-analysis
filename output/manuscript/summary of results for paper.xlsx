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62234183fd3ba/Documents/GitHub/3d-flume-uncertainty-analysis/output/"/>
    </mc:Choice>
  </mc:AlternateContent>
  <xr:revisionPtr revIDLastSave="21" documentId="8_{690B48EC-E9E6-4C69-A50F-AFB4C11FC3A6}" xr6:coauthVersionLast="47" xr6:coauthVersionMax="47" xr10:uidLastSave="{6624FA37-330C-4DF6-AA4F-204373B4E101}"/>
  <bookViews>
    <workbookView xWindow="-120" yWindow="-120" windowWidth="38640" windowHeight="21120" xr2:uid="{4DD6CAAA-0B28-406B-88D2-062A945BD69D}"/>
  </bookViews>
  <sheets>
    <sheet name="flume_generated_numeric" sheetId="1" r:id="rId1"/>
  </sheets>
  <calcPr calcId="0"/>
</workbook>
</file>

<file path=xl/calcChain.xml><?xml version="1.0" encoding="utf-8"?>
<calcChain xmlns="http://schemas.openxmlformats.org/spreadsheetml/2006/main">
  <c r="E13" i="1" l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B14" i="1"/>
  <c r="B15" i="1"/>
  <c r="B16" i="1"/>
  <c r="B17" i="1"/>
  <c r="B18" i="1"/>
  <c r="B19" i="1"/>
  <c r="B20" i="1"/>
  <c r="B13" i="1"/>
  <c r="E20" i="1"/>
  <c r="E19" i="1"/>
  <c r="E18" i="1"/>
  <c r="E17" i="1"/>
  <c r="E16" i="1"/>
  <c r="E15" i="1"/>
  <c r="E14" i="1"/>
</calcChain>
</file>

<file path=xl/sharedStrings.xml><?xml version="1.0" encoding="utf-8"?>
<sst xmlns="http://schemas.openxmlformats.org/spreadsheetml/2006/main" count="46" uniqueCount="43">
  <si>
    <t>Depth_ft</t>
  </si>
  <si>
    <t>median_3D Printed 1</t>
  </si>
  <si>
    <t>median_3D Printed 2</t>
  </si>
  <si>
    <t>median_Fiberglass</t>
  </si>
  <si>
    <t>lo_3D Printed 1</t>
  </si>
  <si>
    <t>lo_3D Printed 2</t>
  </si>
  <si>
    <t>lo_Fiberglass</t>
  </si>
  <si>
    <t>hi_3D Printed 1</t>
  </si>
  <si>
    <t>hi_3D Printed 2</t>
  </si>
  <si>
    <t>hi_Fiberglass</t>
  </si>
  <si>
    <t>Depth (ft)</t>
  </si>
  <si>
    <t>3D1</t>
  </si>
  <si>
    <t>3D2</t>
  </si>
  <si>
    <t>Fiber</t>
  </si>
  <si>
    <t>Manu. Eq.</t>
  </si>
  <si>
    <t>Calculated Flow, cfs (95% CI)</t>
  </si>
  <si>
    <t>Parameter</t>
  </si>
  <si>
    <t>Description</t>
  </si>
  <si>
    <t>3D Printed 1</t>
  </si>
  <si>
    <t>3D Printed 2</t>
  </si>
  <si>
    <t>Fiberglass</t>
  </si>
  <si>
    <t>a</t>
  </si>
  <si>
    <t>b</t>
  </si>
  <si>
    <r>
      <t>Scale term in power-law equation (</t>
    </r>
    <r>
      <rPr>
        <i/>
        <sz val="11"/>
        <color theme="1"/>
        <rFont val="Aptos Narrow"/>
        <family val="2"/>
        <scheme val="minor"/>
      </rPr>
      <t>Q = a Hᵇ</t>
    </r>
    <r>
      <rPr>
        <sz val="11"/>
        <color theme="1"/>
        <rFont val="Aptos Narrow"/>
        <family val="2"/>
        <scheme val="minor"/>
      </rPr>
      <t>); shifts the curve vertically.</t>
    </r>
  </si>
  <si>
    <t>1.88 (1.35 – 2.42)</t>
  </si>
  <si>
    <t>1.64 (1.21 – 2.15)</t>
  </si>
  <si>
    <t>1.85 (0.98 – 2.93)</t>
  </si>
  <si>
    <t>Exponent controlling curve steepness; higher values make flow rise faster with depth.</t>
  </si>
  <si>
    <t>2.86 (2.41 – 3.26)</t>
  </si>
  <si>
    <t>2.67 (2.29 – 3.06)</t>
  </si>
  <si>
    <t>3.10 (2.32 – 3.79)</t>
  </si>
  <si>
    <t>σₚᵣₒ꜀</t>
  </si>
  <si>
    <t>0.009 (0.001 – 0.027)</t>
  </si>
  <si>
    <t>0.008 (0.001 – 0.023)</t>
  </si>
  <si>
    <t>0.024 (0.002 – 0.071)</t>
  </si>
  <si>
    <t>σ_Q,add</t>
  </si>
  <si>
    <t>0.012 (0.006 – 0.022)</t>
  </si>
  <si>
    <t>0.019 (0.008 – 0.040)</t>
  </si>
  <si>
    <t>cv_Q</t>
  </si>
  <si>
    <t>0.00022 (0.00009 – 0.00044)</t>
  </si>
  <si>
    <r>
      <t>Process variability</t>
    </r>
    <r>
      <rPr>
        <sz val="11"/>
        <color theme="1"/>
        <rFont val="Aptos Narrow"/>
        <family val="2"/>
        <scheme val="minor"/>
      </rPr>
      <t xml:space="preserve"> — represents short-term flow fluctuations at a fixed depth (e.g., turbulence, small gauge drift).</t>
    </r>
  </si>
  <si>
    <r>
      <t>Flume infiltration error</t>
    </r>
    <r>
      <rPr>
        <sz val="11"/>
        <color theme="1"/>
        <rFont val="Aptos Narrow"/>
        <family val="2"/>
        <scheme val="minor"/>
      </rPr>
      <t xml:space="preserve"> — additive discharge offset caused by minor leakage or losses through joints or print material.</t>
    </r>
  </si>
  <si>
    <r>
      <t>Flow-meter precision term</t>
    </r>
    <r>
      <rPr>
        <sz val="11"/>
        <color theme="1"/>
        <rFont val="Aptos Narrow"/>
        <family val="2"/>
        <scheme val="minor"/>
      </rPr>
      <t xml:space="preserve"> — proportional error (% of reading) representing magnetic-flow-meter accuracy. Same posterior value applies to all flumes.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</si>
</sst>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7B80-798D-43B1-930D-FC161E963721}">
  <dimension ref="A1:R29"/>
  <sheetViews>
    <sheetView tabSelected="1" workbookViewId="0">
      <selection activeCell="N24" sqref="N24:R29"/>
    </sheetView>
  </sheetViews>
  <sheetFormatPr defaultRowHeight="15" x14ac:dyDescent="0.25"/>
  <cols>
    <col min="2" max="3" width="19.28515625" bestFit="1" customWidth="1"/>
    <col min="4" max="4" width="18" bestFit="1" customWidth="1"/>
    <col min="14" max="14" width="13.28515625" customWidth="1"/>
    <col min="15" max="15" width="42.28515625" style="10" customWidth="1"/>
    <col min="16" max="17" width="24.28515625" bestFit="1" customWidth="1"/>
    <col min="18" max="18" width="3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0.1</v>
      </c>
      <c r="B2">
        <v>2.5221571208206501E-3</v>
      </c>
      <c r="C2">
        <v>3.42453596909064E-3</v>
      </c>
      <c r="D2">
        <v>1.39289804420685E-3</v>
      </c>
      <c r="E2">
        <v>1.08539786080511E-3</v>
      </c>
      <c r="F2">
        <v>1.54055057428556E-3</v>
      </c>
      <c r="G2">
        <v>3.1148768014557099E-4</v>
      </c>
      <c r="H2">
        <v>6.5163504590396697E-3</v>
      </c>
      <c r="I2">
        <v>7.7525198824299896E-3</v>
      </c>
      <c r="J2">
        <v>6.78927712750221E-3</v>
      </c>
    </row>
    <row r="3" spans="1:10" x14ac:dyDescent="0.25">
      <c r="A3">
        <v>0.2</v>
      </c>
      <c r="B3">
        <v>1.8414229835876698E-2</v>
      </c>
      <c r="C3">
        <v>2.18618870419875E-2</v>
      </c>
      <c r="D3">
        <v>1.20097572668653E-2</v>
      </c>
      <c r="E3">
        <v>1.13449065512906E-2</v>
      </c>
      <c r="F3">
        <v>1.38610439104746E-2</v>
      </c>
      <c r="G3">
        <v>4.9553481830508801E-3</v>
      </c>
      <c r="H3">
        <v>3.18011177965885E-2</v>
      </c>
      <c r="I3">
        <v>3.4202734623726201E-2</v>
      </c>
      <c r="J3">
        <v>3.0434743232061499E-2</v>
      </c>
    </row>
    <row r="4" spans="1:10" x14ac:dyDescent="0.25">
      <c r="A4">
        <v>0.3</v>
      </c>
      <c r="B4">
        <v>5.8890224682801397E-2</v>
      </c>
      <c r="C4">
        <v>6.4654890934411596E-2</v>
      </c>
      <c r="D4">
        <v>4.2018258442376701E-2</v>
      </c>
      <c r="E4">
        <v>4.4190716391472498E-2</v>
      </c>
      <c r="F4">
        <v>4.9499659530349897E-2</v>
      </c>
      <c r="G4">
        <v>2.3690894683344801E-2</v>
      </c>
      <c r="H4">
        <v>7.9949479228295997E-2</v>
      </c>
      <c r="I4">
        <v>8.2265803913398494E-2</v>
      </c>
      <c r="J4">
        <v>7.2279099083551901E-2</v>
      </c>
    </row>
    <row r="5" spans="1:10" x14ac:dyDescent="0.25">
      <c r="A5">
        <v>0.4</v>
      </c>
      <c r="B5">
        <v>0.134308184660238</v>
      </c>
      <c r="C5">
        <v>0.13937764650738799</v>
      </c>
      <c r="D5">
        <v>0.103817952821771</v>
      </c>
      <c r="E5">
        <v>0.115926439361525</v>
      </c>
      <c r="F5">
        <v>0.122006924387945</v>
      </c>
      <c r="G5">
        <v>6.9613212858298398E-2</v>
      </c>
      <c r="H5">
        <v>0.155340722456839</v>
      </c>
      <c r="I5">
        <v>0.15729026395361501</v>
      </c>
      <c r="J5">
        <v>0.139733526992702</v>
      </c>
    </row>
    <row r="6" spans="1:10" x14ac:dyDescent="0.25">
      <c r="A6">
        <v>0.5</v>
      </c>
      <c r="B6">
        <v>0.25463266012397301</v>
      </c>
      <c r="C6">
        <v>0.25310030143676299</v>
      </c>
      <c r="D6">
        <v>0.208533732395972</v>
      </c>
      <c r="E6">
        <v>0.23651468409250201</v>
      </c>
      <c r="F6">
        <v>0.22930300903229101</v>
      </c>
      <c r="G6">
        <v>0.14550499391101299</v>
      </c>
      <c r="H6">
        <v>0.26954786095880001</v>
      </c>
      <c r="I6">
        <v>0.27443552998175502</v>
      </c>
      <c r="J6">
        <v>0.25296030155553201</v>
      </c>
    </row>
    <row r="7" spans="1:10" x14ac:dyDescent="0.25">
      <c r="A7">
        <v>0.6</v>
      </c>
      <c r="B7">
        <v>0.43005036389154599</v>
      </c>
      <c r="C7">
        <v>0.41180043911417202</v>
      </c>
      <c r="D7">
        <v>0.36705389511365399</v>
      </c>
      <c r="E7">
        <v>0.374346291464218</v>
      </c>
      <c r="F7">
        <v>0.35335861644405198</v>
      </c>
      <c r="G7">
        <v>0.25091350055324801</v>
      </c>
      <c r="H7">
        <v>0.47594132206804901</v>
      </c>
      <c r="I7">
        <v>0.47338892338378402</v>
      </c>
      <c r="J7">
        <v>0.46315974847785502</v>
      </c>
    </row>
    <row r="8" spans="1:10" x14ac:dyDescent="0.25">
      <c r="A8">
        <v>0.7</v>
      </c>
      <c r="B8">
        <v>0.66996563985791002</v>
      </c>
      <c r="C8">
        <v>0.62140291165023598</v>
      </c>
      <c r="D8">
        <v>0.59127063279294301</v>
      </c>
      <c r="E8">
        <v>0.53441916278296397</v>
      </c>
      <c r="F8">
        <v>0.49760134714868098</v>
      </c>
      <c r="G8">
        <v>0.36551342199000503</v>
      </c>
      <c r="H8">
        <v>0.80076580307635103</v>
      </c>
      <c r="I8">
        <v>0.76766732171238194</v>
      </c>
      <c r="J8">
        <v>0.82663162341621699</v>
      </c>
    </row>
    <row r="9" spans="1:10" x14ac:dyDescent="0.25">
      <c r="A9">
        <v>0.8</v>
      </c>
      <c r="B9">
        <v>0.98347367952827303</v>
      </c>
      <c r="C9">
        <v>0.88748592306680596</v>
      </c>
      <c r="D9">
        <v>0.89619110988955597</v>
      </c>
      <c r="E9">
        <v>0.72587746420207999</v>
      </c>
      <c r="F9">
        <v>0.67073254413202499</v>
      </c>
      <c r="G9">
        <v>0.50233534601271501</v>
      </c>
      <c r="H9">
        <v>1.25173987219462</v>
      </c>
      <c r="I9">
        <v>1.1653185448819201</v>
      </c>
      <c r="J9">
        <v>1.3797468114179501</v>
      </c>
    </row>
    <row r="11" spans="1:10" x14ac:dyDescent="0.25">
      <c r="B11" s="6" t="s">
        <v>15</v>
      </c>
      <c r="C11" s="6"/>
      <c r="D11" s="6"/>
    </row>
    <row r="12" spans="1:10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</row>
    <row r="13" spans="1:10" x14ac:dyDescent="0.25">
      <c r="A13" s="2">
        <v>0.1</v>
      </c>
      <c r="B13" s="3" t="str">
        <f>ROUND(B2,3)&amp;" ("&amp;ROUND(E2,3)&amp;", "&amp;ROUND(H2,3)&amp;")"</f>
        <v>0.003 (0.001, 0.007)</v>
      </c>
      <c r="C13" s="3" t="str">
        <f t="shared" ref="C13:D20" si="0">ROUND(C2,3)&amp;" ("&amp;ROUND(F2,3)&amp;", "&amp;ROUND(I2,3)&amp;")"</f>
        <v>0.003 (0.002, 0.008)</v>
      </c>
      <c r="D13" s="3" t="str">
        <f t="shared" si="0"/>
        <v>0.001 (0, 0.007)</v>
      </c>
      <c r="E13" s="3">
        <f>1.55*A13^2.58</f>
        <v>4.0769153874378444E-3</v>
      </c>
    </row>
    <row r="14" spans="1:10" x14ac:dyDescent="0.25">
      <c r="A14" s="2">
        <v>0.2</v>
      </c>
      <c r="B14" s="3" t="str">
        <f t="shared" ref="B14:B20" si="1">ROUND(B3,3)&amp;" ("&amp;ROUND(E3,3)&amp;", "&amp;ROUND(H3,3)&amp;")"</f>
        <v>0.018 (0.011, 0.032)</v>
      </c>
      <c r="C14" s="3" t="str">
        <f t="shared" si="0"/>
        <v>0.022 (0.014, 0.034)</v>
      </c>
      <c r="D14" s="3" t="str">
        <f t="shared" si="0"/>
        <v>0.012 (0.005, 0.03)</v>
      </c>
      <c r="E14" s="3">
        <f t="shared" ref="E14:E20" si="2">1.55*A14^2.58</f>
        <v>2.4377495614638721E-2</v>
      </c>
    </row>
    <row r="15" spans="1:10" x14ac:dyDescent="0.25">
      <c r="A15" s="2">
        <v>0.3</v>
      </c>
      <c r="B15" s="3" t="str">
        <f t="shared" si="1"/>
        <v>0.059 (0.044, 0.08)</v>
      </c>
      <c r="C15" s="3" t="str">
        <f t="shared" si="0"/>
        <v>0.065 (0.049, 0.082)</v>
      </c>
      <c r="D15" s="3" t="str">
        <f t="shared" si="0"/>
        <v>0.042 (0.024, 0.072)</v>
      </c>
      <c r="E15" s="3">
        <f t="shared" si="2"/>
        <v>6.9391221957620625E-2</v>
      </c>
    </row>
    <row r="16" spans="1:10" x14ac:dyDescent="0.25">
      <c r="A16" s="2">
        <v>0.4</v>
      </c>
      <c r="B16" s="3" t="str">
        <f t="shared" si="1"/>
        <v>0.134 (0.116, 0.155)</v>
      </c>
      <c r="C16" s="3" t="str">
        <f t="shared" si="0"/>
        <v>0.139 (0.122, 0.157)</v>
      </c>
      <c r="D16" s="3" t="str">
        <f t="shared" si="0"/>
        <v>0.104 (0.07, 0.14)</v>
      </c>
      <c r="E16" s="3">
        <f t="shared" si="2"/>
        <v>0.14576272401257673</v>
      </c>
    </row>
    <row r="17" spans="1:18" x14ac:dyDescent="0.25">
      <c r="A17" s="2">
        <v>0.5</v>
      </c>
      <c r="B17" s="3" t="str">
        <f t="shared" si="1"/>
        <v>0.255 (0.237, 0.27)</v>
      </c>
      <c r="C17" s="3" t="str">
        <f t="shared" si="0"/>
        <v>0.253 (0.229, 0.274)</v>
      </c>
      <c r="D17" s="3" t="str">
        <f t="shared" si="0"/>
        <v>0.209 (0.146, 0.253)</v>
      </c>
      <c r="E17" s="3">
        <f t="shared" si="2"/>
        <v>0.25922346373980926</v>
      </c>
    </row>
    <row r="18" spans="1:18" x14ac:dyDescent="0.25">
      <c r="A18" s="2">
        <v>0.6</v>
      </c>
      <c r="B18" s="3" t="str">
        <f t="shared" si="1"/>
        <v>0.43 (0.374, 0.476)</v>
      </c>
      <c r="C18" s="3" t="str">
        <f t="shared" si="0"/>
        <v>0.412 (0.353, 0.473)</v>
      </c>
      <c r="D18" s="3" t="str">
        <f t="shared" si="0"/>
        <v>0.367 (0.251, 0.463)</v>
      </c>
      <c r="E18" s="3">
        <f t="shared" si="2"/>
        <v>0.4149176640208378</v>
      </c>
    </row>
    <row r="19" spans="1:18" x14ac:dyDescent="0.25">
      <c r="A19" s="2">
        <v>0.7</v>
      </c>
      <c r="B19" s="3" t="str">
        <f t="shared" si="1"/>
        <v>0.67 (0.534, 0.801)</v>
      </c>
      <c r="C19" s="3" t="str">
        <f t="shared" si="0"/>
        <v>0.621 (0.498, 0.768)</v>
      </c>
      <c r="D19" s="3" t="str">
        <f t="shared" si="0"/>
        <v>0.591 (0.366, 0.827)</v>
      </c>
      <c r="E19" s="3">
        <f t="shared" si="2"/>
        <v>0.61756779660689243</v>
      </c>
    </row>
    <row r="20" spans="1:18" x14ac:dyDescent="0.25">
      <c r="A20" s="4">
        <v>0.8</v>
      </c>
      <c r="B20" s="5" t="str">
        <f t="shared" si="1"/>
        <v>0.983 (0.726, 1.252)</v>
      </c>
      <c r="C20" s="5" t="str">
        <f t="shared" si="0"/>
        <v>0.887 (0.671, 1.165)</v>
      </c>
      <c r="D20" s="5" t="str">
        <f t="shared" si="0"/>
        <v>0.896 (0.502, 1.38)</v>
      </c>
      <c r="E20" s="5">
        <f t="shared" si="2"/>
        <v>0.87157319387672882</v>
      </c>
    </row>
    <row r="24" spans="1:18" x14ac:dyDescent="0.25">
      <c r="N24" s="12" t="s">
        <v>16</v>
      </c>
      <c r="O24" s="12" t="s">
        <v>17</v>
      </c>
      <c r="P24" s="12" t="s">
        <v>18</v>
      </c>
      <c r="Q24" s="12" t="s">
        <v>19</v>
      </c>
      <c r="R24" s="12" t="s">
        <v>20</v>
      </c>
    </row>
    <row r="25" spans="1:18" ht="30" x14ac:dyDescent="0.25">
      <c r="N25" s="9" t="s">
        <v>21</v>
      </c>
      <c r="O25" s="8" t="s">
        <v>23</v>
      </c>
      <c r="P25" s="7" t="s">
        <v>24</v>
      </c>
      <c r="Q25" s="7" t="s">
        <v>25</v>
      </c>
      <c r="R25" s="7" t="s">
        <v>26</v>
      </c>
    </row>
    <row r="26" spans="1:18" ht="30" x14ac:dyDescent="0.25">
      <c r="N26" s="9" t="s">
        <v>22</v>
      </c>
      <c r="O26" s="8" t="s">
        <v>27</v>
      </c>
      <c r="P26" s="7" t="s">
        <v>28</v>
      </c>
      <c r="Q26" s="7" t="s">
        <v>29</v>
      </c>
      <c r="R26" s="7" t="s">
        <v>30</v>
      </c>
    </row>
    <row r="27" spans="1:18" ht="45" x14ac:dyDescent="0.25">
      <c r="N27" s="9" t="s">
        <v>31</v>
      </c>
      <c r="O27" s="11" t="s">
        <v>40</v>
      </c>
      <c r="P27" s="7" t="s">
        <v>32</v>
      </c>
      <c r="Q27" s="7" t="s">
        <v>33</v>
      </c>
      <c r="R27" s="7" t="s">
        <v>34</v>
      </c>
    </row>
    <row r="28" spans="1:18" ht="45" x14ac:dyDescent="0.25">
      <c r="N28" s="9" t="s">
        <v>35</v>
      </c>
      <c r="O28" s="11" t="s">
        <v>41</v>
      </c>
      <c r="P28" s="7" t="s">
        <v>36</v>
      </c>
      <c r="Q28" s="7" t="s">
        <v>36</v>
      </c>
      <c r="R28" s="7" t="s">
        <v>37</v>
      </c>
    </row>
    <row r="29" spans="1:18" ht="60" x14ac:dyDescent="0.25">
      <c r="N29" s="13" t="s">
        <v>38</v>
      </c>
      <c r="O29" s="14" t="s">
        <v>42</v>
      </c>
      <c r="P29" s="15" t="s">
        <v>39</v>
      </c>
      <c r="Q29" s="15" t="s">
        <v>39</v>
      </c>
      <c r="R29" s="15" t="s">
        <v>39</v>
      </c>
    </row>
  </sheetData>
  <mergeCells count="1"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flume_generated_numeric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Ansley Brown</cp:lastModifiedBy>
  <dcterms:created xsi:type="dcterms:W3CDTF">2025-11-13T05:11:56Z</dcterms:created>
  <dcterms:modified xsi:type="dcterms:W3CDTF">2025-11-13T05:40:38Z</dcterms:modified>
</cp:coreProperties>
</file>