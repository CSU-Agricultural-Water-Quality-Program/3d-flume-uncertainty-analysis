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lostate-my.sharepoint.com/personal/bschaub_colostate_edu/Documents/"/>
    </mc:Choice>
  </mc:AlternateContent>
  <xr:revisionPtr revIDLastSave="0" documentId="8_{F9EED767-47E1-45E1-ADA2-EC7520A0F5C3}" xr6:coauthVersionLast="47" xr6:coauthVersionMax="47" xr10:uidLastSave="{00000000-0000-0000-0000-000000000000}"/>
  <bookViews>
    <workbookView xWindow="28680" yWindow="-120" windowWidth="29040" windowHeight="15720" xr2:uid="{43C32F17-1129-416A-A178-F9A048A89AEB}"/>
  </bookViews>
  <sheets>
    <sheet name="Base Calibration (6-point)" sheetId="6" r:id="rId1"/>
    <sheet name="Detailed Calibration (10-point)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6" l="1"/>
  <c r="K15" i="6"/>
  <c r="L15" i="6" s="1"/>
  <c r="K11" i="6"/>
  <c r="K12" i="6"/>
  <c r="K13" i="6"/>
  <c r="L13" i="6" s="1"/>
  <c r="K14" i="6"/>
  <c r="K10" i="6"/>
  <c r="I15" i="6"/>
  <c r="I14" i="6"/>
  <c r="L14" i="6" s="1"/>
  <c r="I13" i="6"/>
  <c r="I12" i="6"/>
  <c r="L11" i="6"/>
  <c r="I11" i="6"/>
  <c r="I10" i="6"/>
  <c r="E11" i="6"/>
  <c r="E12" i="6"/>
  <c r="F12" i="6" s="1"/>
  <c r="E13" i="6"/>
  <c r="E14" i="6"/>
  <c r="F14" i="6" s="1"/>
  <c r="E15" i="6"/>
  <c r="E10" i="6"/>
  <c r="F15" i="6"/>
  <c r="C15" i="6"/>
  <c r="C14" i="6"/>
  <c r="F13" i="6"/>
  <c r="C13" i="6"/>
  <c r="C12" i="6"/>
  <c r="C11" i="6"/>
  <c r="C10" i="6"/>
  <c r="C4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F21" i="5"/>
  <c r="F20" i="5"/>
  <c r="C4" i="5"/>
  <c r="C11" i="5"/>
  <c r="C12" i="5"/>
  <c r="C13" i="5"/>
  <c r="C14" i="5"/>
  <c r="C15" i="5"/>
  <c r="C16" i="5"/>
  <c r="C17" i="5"/>
  <c r="C18" i="5"/>
  <c r="C19" i="5"/>
  <c r="C10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26" i="5"/>
  <c r="C27" i="5"/>
  <c r="C28" i="5"/>
  <c r="C29" i="5"/>
  <c r="C30" i="5"/>
  <c r="C31" i="5"/>
  <c r="C32" i="5"/>
  <c r="C33" i="5"/>
  <c r="C34" i="5"/>
  <c r="C25" i="5"/>
  <c r="E11" i="5"/>
  <c r="F11" i="5" s="1"/>
  <c r="E12" i="5"/>
  <c r="E13" i="5"/>
  <c r="E14" i="5"/>
  <c r="E15" i="5"/>
  <c r="F15" i="5" s="1"/>
  <c r="E16" i="5"/>
  <c r="E17" i="5"/>
  <c r="E18" i="5"/>
  <c r="E19" i="5"/>
  <c r="F19" i="5" s="1"/>
  <c r="E10" i="5"/>
  <c r="F11" i="6" l="1"/>
  <c r="L12" i="6"/>
  <c r="F10" i="6"/>
  <c r="L10" i="6"/>
  <c r="L17" i="6" s="1"/>
  <c r="F17" i="6"/>
  <c r="F16" i="6"/>
  <c r="F10" i="5"/>
  <c r="F16" i="5"/>
  <c r="F12" i="5"/>
  <c r="F17" i="5"/>
  <c r="F18" i="5"/>
  <c r="F14" i="5"/>
  <c r="F13" i="5"/>
  <c r="L16" i="6" l="1"/>
</calcChain>
</file>

<file path=xl/sharedStrings.xml><?xml version="1.0" encoding="utf-8"?>
<sst xmlns="http://schemas.openxmlformats.org/spreadsheetml/2006/main" count="43" uniqueCount="22">
  <si>
    <t>Accuracy [+/-]</t>
  </si>
  <si>
    <t>Point Gage (in)</t>
  </si>
  <si>
    <t>Point Gage (ft)</t>
  </si>
  <si>
    <t>FlowMeter (cfs)</t>
  </si>
  <si>
    <t>3D Printed Flume #2</t>
  </si>
  <si>
    <t>Fiberglass Flume</t>
  </si>
  <si>
    <t xml:space="preserve">BSE (in): </t>
  </si>
  <si>
    <t>Flow Rate (cfs)</t>
  </si>
  <si>
    <t>Expected Depth (ft)</t>
  </si>
  <si>
    <t>Measured WSE (in)</t>
  </si>
  <si>
    <t>Measured Depth (ft)</t>
  </si>
  <si>
    <t>SE</t>
  </si>
  <si>
    <t>RMSE:</t>
  </si>
  <si>
    <t xml:space="preserve">SSE: </t>
  </si>
  <si>
    <t>Manufacturer's Curve</t>
  </si>
  <si>
    <t>Q=1.55H^2.58</t>
  </si>
  <si>
    <t>Depth (ft)</t>
  </si>
  <si>
    <t>Q (cfs)</t>
  </si>
  <si>
    <t>Point Gage (cm)</t>
  </si>
  <si>
    <t xml:space="preserve">3D Printed Flume #1 </t>
  </si>
  <si>
    <t xml:space="preserve">BSE (cm): </t>
  </si>
  <si>
    <t>Measured WSE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</si>
</sst>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left" vertical="center" indent="2"/>
    </xf>
    <xf numFmtId="164" fontId="0" fillId="0" borderId="15" xfId="0" applyNumberFormat="1" applyBorder="1" applyAlignment="1">
      <alignment horizontal="left" vertical="center" indent="2"/>
    </xf>
    <xf numFmtId="166" fontId="0" fillId="0" borderId="13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8577564760926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 Calibration (6-point)'!$B$7:$F$7</c:f>
              <c:strCache>
                <c:ptCount val="5"/>
                <c:pt idx="0">
                  <c:v>3D Printed Flume #2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(6-point)'!$E$10:$E$15</c:f>
              <c:numCache>
                <c:formatCode>0.000</c:formatCode>
                <c:ptCount val="6"/>
                <c:pt idx="0">
                  <c:v>0.36562500000000003</c:v>
                </c:pt>
                <c:pt idx="1">
                  <c:v>0.41770833333333335</c:v>
                </c:pt>
                <c:pt idx="2">
                  <c:v>0.45208333333333334</c:v>
                </c:pt>
                <c:pt idx="3">
                  <c:v>0.48854166666666665</c:v>
                </c:pt>
                <c:pt idx="4">
                  <c:v>0.53229166666666672</c:v>
                </c:pt>
                <c:pt idx="5">
                  <c:v>0.53749999999999998</c:v>
                </c:pt>
              </c:numCache>
            </c:numRef>
          </c:xVal>
          <c:yVal>
            <c:numRef>
              <c:f>'Base Calibration (6-point)'!$B$10:$B$15</c:f>
              <c:numCache>
                <c:formatCode>0.00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4-46F8-8D4B-A73873D6368A}"/>
            </c:ext>
          </c:extLst>
        </c:ser>
        <c:ser>
          <c:idx val="2"/>
          <c:order val="1"/>
          <c:tx>
            <c:strRef>
              <c:f>'Base Calibration (6-point)'!$H$7:$L$7</c:f>
              <c:strCache>
                <c:ptCount val="5"/>
                <c:pt idx="0">
                  <c:v>Fiberglass Flume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(6-point)'!$K$10:$K$15</c:f>
              <c:numCache>
                <c:formatCode>0.000</c:formatCode>
                <c:ptCount val="6"/>
                <c:pt idx="0">
                  <c:v>0.375</c:v>
                </c:pt>
                <c:pt idx="1">
                  <c:v>0.41666666666666669</c:v>
                </c:pt>
                <c:pt idx="2">
                  <c:v>0.48958333333333331</c:v>
                </c:pt>
                <c:pt idx="3">
                  <c:v>0.51145833333333324</c:v>
                </c:pt>
                <c:pt idx="4">
                  <c:v>0.54374999999999984</c:v>
                </c:pt>
                <c:pt idx="5">
                  <c:v>0.55208333333333337</c:v>
                </c:pt>
              </c:numCache>
            </c:numRef>
          </c:xVal>
          <c:yVal>
            <c:numRef>
              <c:f>'Base Calibration (6-point)'!$H$10:$H$15</c:f>
              <c:numCache>
                <c:formatCode>0.00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4-46F8-8D4B-A73873D6368A}"/>
            </c:ext>
          </c:extLst>
        </c:ser>
        <c:ser>
          <c:idx val="1"/>
          <c:order val="2"/>
          <c:tx>
            <c:v>Manufacturer Curve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'Base Calibration (6-point)'!$B$21:$B$51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'Base Calibration (6-point)'!$C$21:$C$51</c:f>
              <c:numCache>
                <c:formatCode>0.000</c:formatCode>
                <c:ptCount val="31"/>
                <c:pt idx="0">
                  <c:v>0</c:v>
                </c:pt>
                <c:pt idx="1">
                  <c:v>6.411934643775419E-5</c:v>
                </c:pt>
                <c:pt idx="2">
                  <c:v>3.8339502738176122E-4</c:v>
                </c:pt>
                <c:pt idx="3">
                  <c:v>1.0913446509460117E-3</c:v>
                </c:pt>
                <c:pt idx="4">
                  <c:v>2.2924710744479868E-3</c:v>
                </c:pt>
                <c:pt idx="5">
                  <c:v>4.0769153874378444E-3</c:v>
                </c:pt>
                <c:pt idx="6">
                  <c:v>6.525582925873622E-3</c:v>
                </c:pt>
                <c:pt idx="7">
                  <c:v>9.7127459700171691E-3</c:v>
                </c:pt>
                <c:pt idx="8">
                  <c:v>1.3707594652623608E-2</c:v>
                </c:pt>
                <c:pt idx="9">
                  <c:v>1.8575254011746728E-2</c:v>
                </c:pt>
                <c:pt idx="10">
                  <c:v>2.4377495614638721E-2</c:v>
                </c:pt>
                <c:pt idx="11">
                  <c:v>3.1173259491050275E-2</c:v>
                </c:pt>
                <c:pt idx="12">
                  <c:v>3.9019050934588635E-2</c:v>
                </c:pt>
                <c:pt idx="13">
                  <c:v>4.7969250841353041E-2</c:v>
                </c:pt>
                <c:pt idx="14">
                  <c:v>5.8076364061848774E-2</c:v>
                </c:pt>
                <c:pt idx="15">
                  <c:v>6.9391221957620625E-2</c:v>
                </c:pt>
                <c:pt idx="16">
                  <c:v>8.1963150268266852E-2</c:v>
                </c:pt>
                <c:pt idx="17">
                  <c:v>9.5840110140021362E-2</c:v>
                </c:pt>
                <c:pt idx="18">
                  <c:v>0.11106881801065087</c:v>
                </c:pt>
                <c:pt idx="19">
                  <c:v>0.12769484857347996</c:v>
                </c:pt>
                <c:pt idx="20">
                  <c:v>0.14576272401257673</c:v>
                </c:pt>
                <c:pt idx="21">
                  <c:v>0.16531599196298566</c:v>
                </c:pt>
                <c:pt idx="22">
                  <c:v>0.18639729411079389</c:v>
                </c:pt>
                <c:pt idx="23">
                  <c:v>0.20904842694716996</c:v>
                </c:pt>
                <c:pt idx="24">
                  <c:v>0.23331039588807301</c:v>
                </c:pt>
                <c:pt idx="25">
                  <c:v>0.25922346373980926</c:v>
                </c:pt>
                <c:pt idx="26">
                  <c:v>0.28682719431110998</c:v>
                </c:pt>
                <c:pt idx="27">
                  <c:v>0.31616049183163297</c:v>
                </c:pt>
                <c:pt idx="28">
                  <c:v>0.34726163672521515</c:v>
                </c:pt>
                <c:pt idx="29">
                  <c:v>0.38016831819691932</c:v>
                </c:pt>
                <c:pt idx="30">
                  <c:v>0.4149176640208378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84-46F8-8D4B-A73873D63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Stage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Discharge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8577564760926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 Calibration (6-point)'!$B$7:$F$7</c:f>
              <c:strCache>
                <c:ptCount val="5"/>
                <c:pt idx="0">
                  <c:v>3D Printed Flume #2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(6-point)'!$E$10:$E$15</c:f>
              <c:numCache>
                <c:formatCode>0.000</c:formatCode>
                <c:ptCount val="6"/>
                <c:pt idx="0">
                  <c:v>0.36562500000000003</c:v>
                </c:pt>
                <c:pt idx="1">
                  <c:v>0.41770833333333335</c:v>
                </c:pt>
                <c:pt idx="2">
                  <c:v>0.45208333333333334</c:v>
                </c:pt>
                <c:pt idx="3">
                  <c:v>0.48854166666666665</c:v>
                </c:pt>
                <c:pt idx="4">
                  <c:v>0.53229166666666672</c:v>
                </c:pt>
                <c:pt idx="5">
                  <c:v>0.53749999999999998</c:v>
                </c:pt>
              </c:numCache>
            </c:numRef>
          </c:xVal>
          <c:yVal>
            <c:numRef>
              <c:f>'Base Calibration (6-point)'!$C$10:$C$15</c:f>
              <c:numCache>
                <c:formatCode>0.000</c:formatCode>
                <c:ptCount val="6"/>
                <c:pt idx="0">
                  <c:v>0.34564567319635447</c:v>
                </c:pt>
                <c:pt idx="1">
                  <c:v>0.40446742554552423</c:v>
                </c:pt>
                <c:pt idx="2">
                  <c:v>0.45217798856348301</c:v>
                </c:pt>
                <c:pt idx="3">
                  <c:v>0.49302783401652273</c:v>
                </c:pt>
                <c:pt idx="4">
                  <c:v>0.52912933997217604</c:v>
                </c:pt>
                <c:pt idx="5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2-4A8B-A904-E6C5F7A06BCF}"/>
            </c:ext>
          </c:extLst>
        </c:ser>
        <c:ser>
          <c:idx val="2"/>
          <c:order val="1"/>
          <c:tx>
            <c:strRef>
              <c:f>'Base Calibration (6-point)'!$H$7:$L$7</c:f>
              <c:strCache>
                <c:ptCount val="5"/>
                <c:pt idx="0">
                  <c:v>Fiberglass Flume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(6-point)'!$K$10:$K$15</c:f>
              <c:numCache>
                <c:formatCode>0.000</c:formatCode>
                <c:ptCount val="6"/>
                <c:pt idx="0">
                  <c:v>0.375</c:v>
                </c:pt>
                <c:pt idx="1">
                  <c:v>0.41666666666666669</c:v>
                </c:pt>
                <c:pt idx="2">
                  <c:v>0.48958333333333331</c:v>
                </c:pt>
                <c:pt idx="3">
                  <c:v>0.51145833333333324</c:v>
                </c:pt>
                <c:pt idx="4">
                  <c:v>0.54374999999999984</c:v>
                </c:pt>
                <c:pt idx="5">
                  <c:v>0.55208333333333337</c:v>
                </c:pt>
              </c:numCache>
            </c:numRef>
          </c:xVal>
          <c:yVal>
            <c:numRef>
              <c:f>'Base Calibration (6-point)'!$I$10:$I$15</c:f>
              <c:numCache>
                <c:formatCode>0.000</c:formatCode>
                <c:ptCount val="6"/>
                <c:pt idx="0">
                  <c:v>0.34564567319635447</c:v>
                </c:pt>
                <c:pt idx="1">
                  <c:v>0.40446742554552423</c:v>
                </c:pt>
                <c:pt idx="2">
                  <c:v>0.45217798856348301</c:v>
                </c:pt>
                <c:pt idx="3">
                  <c:v>0.49302783401652273</c:v>
                </c:pt>
                <c:pt idx="4">
                  <c:v>0.52912933997217604</c:v>
                </c:pt>
                <c:pt idx="5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62-4A8B-A904-E6C5F7A06BCF}"/>
            </c:ext>
          </c:extLst>
        </c:ser>
        <c:ser>
          <c:idx val="1"/>
          <c:order val="2"/>
          <c:tx>
            <c:v>1:1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62-4A8B-A904-E6C5F7A06BC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A62-4A8B-A904-E6C5F7A06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Measured Depth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Expected</a:t>
                </a:r>
                <a:r>
                  <a:rPr lang="en-US" baseline="0">
                    <a:solidFill>
                      <a:schemeClr val="tx1"/>
                    </a:solidFill>
                  </a:rPr>
                  <a:t> Depth</a:t>
                </a:r>
                <a:r>
                  <a:rPr lang="en-US">
                    <a:solidFill>
                      <a:schemeClr val="tx1"/>
                    </a:solidFill>
                  </a:rPr>
                  <a:t>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8577564760926621"/>
        </c:manualLayout>
      </c:layout>
      <c:scatterChart>
        <c:scatterStyle val="lineMarker"/>
        <c:varyColors val="0"/>
        <c:ser>
          <c:idx val="0"/>
          <c:order val="0"/>
          <c:tx>
            <c:v>3D Printed #1</c:v>
          </c:tx>
          <c:spPr>
            <a:ln w="1905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'Detailed Calibration (10-point)'!$E$10:$E$19</c:f>
              <c:numCache>
                <c:formatCode>0.000</c:formatCode>
                <c:ptCount val="10"/>
                <c:pt idx="0">
                  <c:v>0.2057086614173228</c:v>
                </c:pt>
                <c:pt idx="1">
                  <c:v>0.25131233595800523</c:v>
                </c:pt>
                <c:pt idx="2">
                  <c:v>0.2939632545931759</c:v>
                </c:pt>
                <c:pt idx="3">
                  <c:v>0.32578740157480313</c:v>
                </c:pt>
                <c:pt idx="4">
                  <c:v>0.3520341207349082</c:v>
                </c:pt>
                <c:pt idx="5">
                  <c:v>0.41043307086614184</c:v>
                </c:pt>
                <c:pt idx="6">
                  <c:v>0.45603674540682421</c:v>
                </c:pt>
                <c:pt idx="7">
                  <c:v>0.49179790026246728</c:v>
                </c:pt>
                <c:pt idx="8">
                  <c:v>0.5269028871391076</c:v>
                </c:pt>
                <c:pt idx="9">
                  <c:v>0.53838582677165359</c:v>
                </c:pt>
              </c:numCache>
            </c:numRef>
          </c:xVal>
          <c:yVal>
            <c:numRef>
              <c:f>'Detailed Calibration (10-point)'!$B$10:$B$19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CED-4436-9466-0B814758F81D}"/>
            </c:ext>
          </c:extLst>
        </c:ser>
        <c:ser>
          <c:idx val="1"/>
          <c:order val="1"/>
          <c:tx>
            <c:v>Manufacturer Curve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'Detailed Calibration (10-point)'!$B$25:$B$55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'Detailed Calibration (10-point)'!$C$25:$C$55</c:f>
              <c:numCache>
                <c:formatCode>0.000</c:formatCode>
                <c:ptCount val="31"/>
                <c:pt idx="0">
                  <c:v>0</c:v>
                </c:pt>
                <c:pt idx="1">
                  <c:v>6.411934643775419E-5</c:v>
                </c:pt>
                <c:pt idx="2">
                  <c:v>3.8339502738176122E-4</c:v>
                </c:pt>
                <c:pt idx="3">
                  <c:v>1.0913446509460117E-3</c:v>
                </c:pt>
                <c:pt idx="4">
                  <c:v>2.2924710744479868E-3</c:v>
                </c:pt>
                <c:pt idx="5">
                  <c:v>4.0769153874378444E-3</c:v>
                </c:pt>
                <c:pt idx="6">
                  <c:v>6.525582925873622E-3</c:v>
                </c:pt>
                <c:pt idx="7">
                  <c:v>9.7127459700171691E-3</c:v>
                </c:pt>
                <c:pt idx="8">
                  <c:v>1.3707594652623608E-2</c:v>
                </c:pt>
                <c:pt idx="9">
                  <c:v>1.8575254011746728E-2</c:v>
                </c:pt>
                <c:pt idx="10">
                  <c:v>2.4377495614638721E-2</c:v>
                </c:pt>
                <c:pt idx="11">
                  <c:v>3.1173259491050275E-2</c:v>
                </c:pt>
                <c:pt idx="12">
                  <c:v>3.9019050934588635E-2</c:v>
                </c:pt>
                <c:pt idx="13">
                  <c:v>4.7969250841353041E-2</c:v>
                </c:pt>
                <c:pt idx="14">
                  <c:v>5.8076364061848774E-2</c:v>
                </c:pt>
                <c:pt idx="15">
                  <c:v>6.9391221957620625E-2</c:v>
                </c:pt>
                <c:pt idx="16">
                  <c:v>8.1963150268266852E-2</c:v>
                </c:pt>
                <c:pt idx="17">
                  <c:v>9.5840110140021362E-2</c:v>
                </c:pt>
                <c:pt idx="18">
                  <c:v>0.11106881801065087</c:v>
                </c:pt>
                <c:pt idx="19">
                  <c:v>0.12769484857347996</c:v>
                </c:pt>
                <c:pt idx="20">
                  <c:v>0.14576272401257673</c:v>
                </c:pt>
                <c:pt idx="21">
                  <c:v>0.16531599196298566</c:v>
                </c:pt>
                <c:pt idx="22">
                  <c:v>0.18639729411079389</c:v>
                </c:pt>
                <c:pt idx="23">
                  <c:v>0.20904842694716996</c:v>
                </c:pt>
                <c:pt idx="24">
                  <c:v>0.23331039588807301</c:v>
                </c:pt>
                <c:pt idx="25">
                  <c:v>0.25922346373980926</c:v>
                </c:pt>
                <c:pt idx="26">
                  <c:v>0.28682719431110998</c:v>
                </c:pt>
                <c:pt idx="27">
                  <c:v>0.31616049183163297</c:v>
                </c:pt>
                <c:pt idx="28">
                  <c:v>0.34726163672521515</c:v>
                </c:pt>
                <c:pt idx="29">
                  <c:v>0.38016831819691932</c:v>
                </c:pt>
                <c:pt idx="30">
                  <c:v>0.4149176640208378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CED-4436-9466-0B814758F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Stage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Discharge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8577564760926621"/>
        </c:manualLayout>
      </c:layout>
      <c:scatterChart>
        <c:scatterStyle val="lineMarker"/>
        <c:varyColors val="0"/>
        <c:ser>
          <c:idx val="0"/>
          <c:order val="0"/>
          <c:tx>
            <c:v>3D Printed #1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'Detailed Calibration (10-point)'!$E$10:$E$19</c:f>
              <c:numCache>
                <c:formatCode>0.000</c:formatCode>
                <c:ptCount val="10"/>
                <c:pt idx="0">
                  <c:v>0.2057086614173228</c:v>
                </c:pt>
                <c:pt idx="1">
                  <c:v>0.25131233595800523</c:v>
                </c:pt>
                <c:pt idx="2">
                  <c:v>0.2939632545931759</c:v>
                </c:pt>
                <c:pt idx="3">
                  <c:v>0.32578740157480313</c:v>
                </c:pt>
                <c:pt idx="4">
                  <c:v>0.3520341207349082</c:v>
                </c:pt>
                <c:pt idx="5">
                  <c:v>0.41043307086614184</c:v>
                </c:pt>
                <c:pt idx="6">
                  <c:v>0.45603674540682421</c:v>
                </c:pt>
                <c:pt idx="7">
                  <c:v>0.49179790026246728</c:v>
                </c:pt>
                <c:pt idx="8">
                  <c:v>0.5269028871391076</c:v>
                </c:pt>
                <c:pt idx="9">
                  <c:v>0.53838582677165359</c:v>
                </c:pt>
              </c:numCache>
            </c:numRef>
          </c:xVal>
          <c:yVal>
            <c:numRef>
              <c:f>'Detailed Calibration (10-point)'!$C$10:$C$19</c:f>
              <c:numCache>
                <c:formatCode>0.000</c:formatCode>
                <c:ptCount val="10"/>
                <c:pt idx="0">
                  <c:v>0.18523050826228751</c:v>
                </c:pt>
                <c:pt idx="1">
                  <c:v>0.24232086538821512</c:v>
                </c:pt>
                <c:pt idx="2">
                  <c:v>0.28355887019553933</c:v>
                </c:pt>
                <c:pt idx="3">
                  <c:v>0.31700718393185223</c:v>
                </c:pt>
                <c:pt idx="4">
                  <c:v>0.34564567319635447</c:v>
                </c:pt>
                <c:pt idx="5">
                  <c:v>0.40446742554552423</c:v>
                </c:pt>
                <c:pt idx="6">
                  <c:v>0.45217798856348301</c:v>
                </c:pt>
                <c:pt idx="7">
                  <c:v>0.49302783401652273</c:v>
                </c:pt>
                <c:pt idx="8">
                  <c:v>0.52912933997217604</c:v>
                </c:pt>
                <c:pt idx="9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A-444E-8B4A-3AD1046F5A76}"/>
            </c:ext>
          </c:extLst>
        </c:ser>
        <c:ser>
          <c:idx val="1"/>
          <c:order val="1"/>
          <c:tx>
            <c:v>1:1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BA-444E-8B4A-3AD1046F5A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FBA-444E-8B4A-3AD1046F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Measured Depth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Expected</a:t>
                </a:r>
                <a:r>
                  <a:rPr lang="en-US" baseline="0">
                    <a:solidFill>
                      <a:schemeClr val="tx1"/>
                    </a:solidFill>
                  </a:rPr>
                  <a:t> Depth</a:t>
                </a:r>
                <a:r>
                  <a:rPr lang="en-US">
                    <a:solidFill>
                      <a:schemeClr val="tx1"/>
                    </a:solidFill>
                  </a:rPr>
                  <a:t>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187433</xdr:colOff>
      <xdr:row>18</xdr:row>
      <xdr:rowOff>92528</xdr:rowOff>
    </xdr:from>
    <xdr:to>
      <xdr:col>11</xdr:col>
      <xdr:colOff>258535</xdr:colOff>
      <xdr:row>41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C23B6-54CA-42A9-A4E7-CF02FC8F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366592</xdr:colOff>
      <xdr:row>18</xdr:row>
      <xdr:rowOff>107414</xdr:rowOff>
    </xdr:from>
    <xdr:to>
      <xdr:col>20</xdr:col>
      <xdr:colOff>0</xdr:colOff>
      <xdr:row>40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CA480-2BC9-4C9C-A234-0B9EF468C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509922</xdr:colOff>
      <xdr:row>2</xdr:row>
      <xdr:rowOff>9525</xdr:rowOff>
    </xdr:from>
    <xdr:to>
      <xdr:col>14</xdr:col>
      <xdr:colOff>581025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A9916A-13B2-4B93-904A-80DBA2CE1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9525</xdr:rowOff>
    </xdr:from>
    <xdr:to>
      <xdr:col>23</xdr:col>
      <xdr:colOff>71103</xdr:colOff>
      <xdr:row>23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B819A1-4C2B-4FD1-BB99-4FE2122B1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9889-40B6-4341-ADB8-A84703AE80DA}">
  <dimension ref="B1:O51"/>
  <sheetViews>
    <sheetView tabSelected="1" topLeftCell="A6" zoomScaleNormal="100" workbookViewId="0">
      <selection activeCell="Q7" sqref="Q7"/>
    </sheetView>
  </sheetViews>
  <sheetFormatPr defaultRowHeight="15"/>
  <cols>
    <col min="2" max="2" width="14.5703125" bestFit="1" customWidth="1"/>
    <col min="3" max="3" width="10.5703125" customWidth="1"/>
    <col min="4" max="4" width="11.5703125" customWidth="1"/>
    <col min="5" max="5" width="10.28515625" customWidth="1"/>
    <col min="6" max="6" width="9.5703125" customWidth="1"/>
    <col min="8" max="8" width="10.5703125" customWidth="1"/>
    <col min="9" max="9" width="12.5703125" customWidth="1"/>
    <col min="10" max="11" width="10.5703125" customWidth="1"/>
    <col min="16" max="16" width="12.42578125" customWidth="1"/>
    <col min="17" max="17" width="10.140625" customWidth="1"/>
  </cols>
  <sheetData>
    <row r="1" spans="2:12" ht="15.75" thickBot="1"/>
    <row r="2" spans="2:12" ht="15.75" thickBot="1">
      <c r="B2" s="46" t="s">
        <v>0</v>
      </c>
      <c r="C2" s="47"/>
    </row>
    <row r="3" spans="2:12">
      <c r="B3" s="17" t="s">
        <v>1</v>
      </c>
      <c r="C3" s="18">
        <f>1/16</f>
        <v>6.25E-2</v>
      </c>
    </row>
    <row r="4" spans="2:12">
      <c r="B4" s="19" t="s">
        <v>2</v>
      </c>
      <c r="C4" s="36">
        <f>C3/12</f>
        <v>5.208333333333333E-3</v>
      </c>
    </row>
    <row r="5" spans="2:12" ht="15.75" thickBot="1">
      <c r="B5" s="20" t="s">
        <v>3</v>
      </c>
      <c r="C5" s="4">
        <v>0.01</v>
      </c>
    </row>
    <row r="6" spans="2:12" ht="15.75" thickBot="1"/>
    <row r="7" spans="2:12" ht="15.75" thickBot="1">
      <c r="B7" s="43" t="s">
        <v>4</v>
      </c>
      <c r="C7" s="44"/>
      <c r="D7" s="44"/>
      <c r="E7" s="44"/>
      <c r="F7" s="45"/>
      <c r="H7" s="43" t="s">
        <v>5</v>
      </c>
      <c r="I7" s="44"/>
      <c r="J7" s="44"/>
      <c r="K7" s="44"/>
      <c r="L7" s="45"/>
    </row>
    <row r="8" spans="2:12" ht="15.75" thickBot="1">
      <c r="B8" s="8" t="s">
        <v>6</v>
      </c>
      <c r="C8" s="5">
        <v>2.6124999999999998</v>
      </c>
      <c r="D8" s="6"/>
      <c r="E8" s="28"/>
      <c r="F8" s="29"/>
      <c r="H8" s="8" t="s">
        <v>6</v>
      </c>
      <c r="I8" s="5">
        <v>17.25</v>
      </c>
      <c r="J8" s="6"/>
      <c r="K8" s="28"/>
      <c r="L8" s="29"/>
    </row>
    <row r="9" spans="2:12" ht="41.25" customHeight="1" thickBot="1">
      <c r="B9" s="9" t="s">
        <v>7</v>
      </c>
      <c r="C9" s="9" t="s">
        <v>8</v>
      </c>
      <c r="D9" s="9" t="s">
        <v>9</v>
      </c>
      <c r="E9" s="9" t="s">
        <v>10</v>
      </c>
      <c r="F9" s="7" t="s">
        <v>11</v>
      </c>
      <c r="H9" s="9" t="s">
        <v>7</v>
      </c>
      <c r="I9" s="9" t="s">
        <v>8</v>
      </c>
      <c r="J9" s="9" t="s">
        <v>9</v>
      </c>
      <c r="K9" s="9" t="s">
        <v>10</v>
      </c>
      <c r="L9" s="7" t="s">
        <v>11</v>
      </c>
    </row>
    <row r="10" spans="2:12">
      <c r="B10" s="12">
        <v>0.1</v>
      </c>
      <c r="C10" s="14">
        <f t="shared" ref="C10:C15" si="0">(B10/1.55)^(1/2.58)</f>
        <v>0.34564567319635447</v>
      </c>
      <c r="D10" s="40">
        <v>7</v>
      </c>
      <c r="E10" s="13">
        <f t="shared" ref="E10:E15" si="1">(D10-$C$8)/12</f>
        <v>0.36562500000000003</v>
      </c>
      <c r="F10" s="39">
        <f t="shared" ref="F10:F15" si="2">(E10-C10)^2</f>
        <v>3.9917349952686985E-4</v>
      </c>
      <c r="H10" s="12">
        <v>0.1</v>
      </c>
      <c r="I10" s="14">
        <f t="shared" ref="I10:I15" si="3">(H10/1.55)^(1/2.58)</f>
        <v>0.34564567319635447</v>
      </c>
      <c r="J10" s="40">
        <v>21.75</v>
      </c>
      <c r="K10" s="13">
        <f t="shared" ref="K10:K15" si="4">(J10-$I$8)/12</f>
        <v>0.375</v>
      </c>
      <c r="L10" s="39">
        <f t="shared" ref="L10:L15" si="5">(K10-I10)^2</f>
        <v>8.6167650209522208E-4</v>
      </c>
    </row>
    <row r="11" spans="2:12">
      <c r="B11" s="12">
        <v>0.15</v>
      </c>
      <c r="C11" s="14">
        <f t="shared" si="0"/>
        <v>0.40446742554552423</v>
      </c>
      <c r="D11" s="40">
        <v>7.625</v>
      </c>
      <c r="E11" s="14">
        <f t="shared" si="1"/>
        <v>0.41770833333333335</v>
      </c>
      <c r="F11" s="37">
        <f t="shared" si="2"/>
        <v>1.753216390452642E-4</v>
      </c>
      <c r="H11" s="12">
        <v>0.15</v>
      </c>
      <c r="I11" s="14">
        <f t="shared" si="3"/>
        <v>0.40446742554552423</v>
      </c>
      <c r="J11" s="40">
        <v>22.25</v>
      </c>
      <c r="K11" s="14">
        <f t="shared" si="4"/>
        <v>0.41666666666666669</v>
      </c>
      <c r="L11" s="37">
        <f t="shared" si="5"/>
        <v>1.4882148393177306E-4</v>
      </c>
    </row>
    <row r="12" spans="2:12">
      <c r="B12" s="12">
        <v>0.2</v>
      </c>
      <c r="C12" s="14">
        <f t="shared" si="0"/>
        <v>0.45217798856348301</v>
      </c>
      <c r="D12" s="40">
        <v>8.0374999999999996</v>
      </c>
      <c r="E12" s="14">
        <f t="shared" si="1"/>
        <v>0.45208333333333334</v>
      </c>
      <c r="F12" s="37">
        <f t="shared" si="2"/>
        <v>8.9596125946881582E-9</v>
      </c>
      <c r="H12" s="12">
        <v>0.2</v>
      </c>
      <c r="I12" s="14">
        <f t="shared" si="3"/>
        <v>0.45217798856348301</v>
      </c>
      <c r="J12" s="40">
        <v>23.125</v>
      </c>
      <c r="K12" s="14">
        <f t="shared" si="4"/>
        <v>0.48958333333333331</v>
      </c>
      <c r="L12" s="37">
        <f t="shared" si="5"/>
        <v>1.3991598173513672E-3</v>
      </c>
    </row>
    <row r="13" spans="2:12">
      <c r="B13" s="12">
        <v>0.25</v>
      </c>
      <c r="C13" s="14">
        <f t="shared" si="0"/>
        <v>0.49302783401652273</v>
      </c>
      <c r="D13" s="40">
        <v>8.4749999999999996</v>
      </c>
      <c r="E13" s="14">
        <f t="shared" si="1"/>
        <v>0.48854166666666665</v>
      </c>
      <c r="F13" s="37">
        <f t="shared" si="2"/>
        <v>2.012569749091467E-5</v>
      </c>
      <c r="H13" s="12">
        <v>0.25</v>
      </c>
      <c r="I13" s="14">
        <f t="shared" si="3"/>
        <v>0.49302783401652273</v>
      </c>
      <c r="J13" s="40">
        <v>23.387499999999999</v>
      </c>
      <c r="K13" s="14">
        <f t="shared" si="4"/>
        <v>0.51145833333333324</v>
      </c>
      <c r="L13" s="37">
        <f t="shared" si="5"/>
        <v>3.3968330506695273E-4</v>
      </c>
    </row>
    <row r="14" spans="2:12">
      <c r="B14" s="12">
        <v>0.3</v>
      </c>
      <c r="C14" s="14">
        <f t="shared" si="0"/>
        <v>0.52912933997217604</v>
      </c>
      <c r="D14" s="40">
        <v>9</v>
      </c>
      <c r="E14" s="14">
        <f t="shared" si="1"/>
        <v>0.53229166666666672</v>
      </c>
      <c r="F14" s="37">
        <f t="shared" si="2"/>
        <v>1.0000310122688352E-5</v>
      </c>
      <c r="H14" s="12">
        <v>0.3</v>
      </c>
      <c r="I14" s="14">
        <f t="shared" si="3"/>
        <v>0.52912933997217604</v>
      </c>
      <c r="J14" s="40">
        <v>23.774999999999999</v>
      </c>
      <c r="K14" s="14">
        <f t="shared" si="4"/>
        <v>0.54374999999999984</v>
      </c>
      <c r="L14" s="37">
        <f t="shared" si="5"/>
        <v>2.1376369964920482E-4</v>
      </c>
    </row>
    <row r="15" spans="2:12" ht="15.75" thickBot="1">
      <c r="B15" s="16">
        <v>0.32</v>
      </c>
      <c r="C15" s="15">
        <f t="shared" si="0"/>
        <v>0.54253241330042523</v>
      </c>
      <c r="D15" s="41">
        <v>9.0625</v>
      </c>
      <c r="E15" s="15">
        <f t="shared" si="1"/>
        <v>0.53749999999999998</v>
      </c>
      <c r="F15" s="38">
        <f t="shared" si="2"/>
        <v>2.5325183626296994E-5</v>
      </c>
      <c r="H15" s="16">
        <v>0.32</v>
      </c>
      <c r="I15" s="15">
        <f t="shared" si="3"/>
        <v>0.54253241330042523</v>
      </c>
      <c r="J15" s="41">
        <v>23.875</v>
      </c>
      <c r="K15" s="15">
        <f t="shared" si="4"/>
        <v>0.55208333333333337</v>
      </c>
      <c r="L15" s="38">
        <f t="shared" si="5"/>
        <v>9.1220073475006011E-5</v>
      </c>
    </row>
    <row r="16" spans="2:12" ht="15.75" thickBot="1">
      <c r="B16" s="1"/>
      <c r="C16" s="1"/>
      <c r="D16" s="1"/>
      <c r="E16" s="20" t="s">
        <v>12</v>
      </c>
      <c r="F16" s="33">
        <f>SQRT(AVERAGE(F10:F15))</f>
        <v>1.0246587150726729E-2</v>
      </c>
      <c r="H16" s="1"/>
      <c r="I16" s="1"/>
      <c r="J16" s="1"/>
      <c r="K16" s="20" t="s">
        <v>12</v>
      </c>
      <c r="L16" s="33">
        <f>SQRT(AVERAGE(L10:L15))</f>
        <v>2.2562228323644237E-2</v>
      </c>
    </row>
    <row r="17" spans="2:15" ht="15.75" thickBot="1">
      <c r="E17" s="20" t="s">
        <v>13</v>
      </c>
      <c r="F17" s="35">
        <f>SUM(F10:F15)</f>
        <v>6.2995528942462876E-4</v>
      </c>
      <c r="K17" s="20" t="s">
        <v>13</v>
      </c>
      <c r="L17" s="35">
        <f>SUM(L10:L15)</f>
        <v>3.0543248815695259E-3</v>
      </c>
    </row>
    <row r="18" spans="2:15" ht="15.75" thickBot="1">
      <c r="B18" s="48" t="s">
        <v>14</v>
      </c>
      <c r="C18" s="49"/>
    </row>
    <row r="19" spans="2:15" ht="15.75" thickBot="1">
      <c r="B19" s="50" t="s">
        <v>15</v>
      </c>
      <c r="C19" s="51"/>
    </row>
    <row r="20" spans="2:15" ht="15.75" thickBot="1">
      <c r="B20" s="17" t="s">
        <v>16</v>
      </c>
      <c r="C20" s="27" t="s">
        <v>17</v>
      </c>
    </row>
    <row r="21" spans="2:15">
      <c r="B21" s="21">
        <v>0</v>
      </c>
      <c r="C21" s="24">
        <f>1.55*B21^2.58</f>
        <v>0</v>
      </c>
      <c r="N21" s="1"/>
      <c r="O21" s="1"/>
    </row>
    <row r="22" spans="2:15">
      <c r="B22" s="22">
        <v>0.02</v>
      </c>
      <c r="C22" s="25">
        <f t="shared" ref="C22:C51" si="6">1.55*B22^2.58</f>
        <v>6.411934643775419E-5</v>
      </c>
      <c r="H22" s="1"/>
      <c r="I22" s="1"/>
      <c r="J22" s="1"/>
      <c r="N22" s="1"/>
      <c r="O22" s="1"/>
    </row>
    <row r="23" spans="2:15" ht="15" customHeight="1">
      <c r="B23" s="22">
        <v>0.04</v>
      </c>
      <c r="C23" s="25">
        <f t="shared" si="6"/>
        <v>3.8339502738176122E-4</v>
      </c>
      <c r="H23" s="2"/>
      <c r="I23" s="1"/>
      <c r="J23" s="2"/>
      <c r="N23" s="1"/>
      <c r="O23" s="1"/>
    </row>
    <row r="24" spans="2:15">
      <c r="B24" s="22">
        <v>0.06</v>
      </c>
      <c r="C24" s="25">
        <f t="shared" si="6"/>
        <v>1.0913446509460117E-3</v>
      </c>
      <c r="H24" s="1"/>
      <c r="I24" s="3"/>
      <c r="J24" s="1"/>
      <c r="N24" s="1"/>
      <c r="O24" s="1"/>
    </row>
    <row r="25" spans="2:15">
      <c r="B25" s="22">
        <v>0.08</v>
      </c>
      <c r="C25" s="25">
        <f t="shared" si="6"/>
        <v>2.2924710744479868E-3</v>
      </c>
      <c r="H25" s="1"/>
      <c r="I25" s="3"/>
      <c r="J25" s="1"/>
      <c r="N25" s="1"/>
      <c r="O25" s="1"/>
    </row>
    <row r="26" spans="2:15">
      <c r="B26" s="22">
        <v>0.1</v>
      </c>
      <c r="C26" s="25">
        <f t="shared" si="6"/>
        <v>4.0769153874378444E-3</v>
      </c>
      <c r="H26" s="1"/>
      <c r="I26" s="3"/>
      <c r="J26" s="1"/>
      <c r="N26" s="1"/>
      <c r="O26" s="1"/>
    </row>
    <row r="27" spans="2:15">
      <c r="B27" s="22">
        <v>0.12</v>
      </c>
      <c r="C27" s="25">
        <f t="shared" si="6"/>
        <v>6.525582925873622E-3</v>
      </c>
      <c r="H27" s="1"/>
      <c r="I27" s="3"/>
      <c r="J27" s="1"/>
    </row>
    <row r="28" spans="2:15">
      <c r="B28" s="22">
        <v>0.14000000000000001</v>
      </c>
      <c r="C28" s="25">
        <f t="shared" si="6"/>
        <v>9.7127459700171691E-3</v>
      </c>
      <c r="H28" s="1"/>
      <c r="I28" s="3"/>
      <c r="J28" s="1"/>
    </row>
    <row r="29" spans="2:15">
      <c r="B29" s="22">
        <v>0.16</v>
      </c>
      <c r="C29" s="25">
        <f t="shared" si="6"/>
        <v>1.3707594652623608E-2</v>
      </c>
      <c r="H29" s="1"/>
      <c r="I29" s="3"/>
      <c r="J29" s="1"/>
    </row>
    <row r="30" spans="2:15">
      <c r="B30" s="22">
        <v>0.18</v>
      </c>
      <c r="C30" s="25">
        <f t="shared" si="6"/>
        <v>1.8575254011746728E-2</v>
      </c>
    </row>
    <row r="31" spans="2:15">
      <c r="B31" s="22">
        <v>0.2</v>
      </c>
      <c r="C31" s="25">
        <f t="shared" si="6"/>
        <v>2.4377495614638721E-2</v>
      </c>
    </row>
    <row r="32" spans="2:15">
      <c r="B32" s="22">
        <v>0.22</v>
      </c>
      <c r="C32" s="25">
        <f t="shared" si="6"/>
        <v>3.1173259491050275E-2</v>
      </c>
    </row>
    <row r="33" spans="2:3">
      <c r="B33" s="22">
        <v>0.24</v>
      </c>
      <c r="C33" s="25">
        <f t="shared" si="6"/>
        <v>3.9019050934588635E-2</v>
      </c>
    </row>
    <row r="34" spans="2:3">
      <c r="B34" s="22">
        <v>0.26</v>
      </c>
      <c r="C34" s="25">
        <f t="shared" si="6"/>
        <v>4.7969250841353041E-2</v>
      </c>
    </row>
    <row r="35" spans="2:3">
      <c r="B35" s="22">
        <v>0.28000000000000003</v>
      </c>
      <c r="C35" s="25">
        <f t="shared" si="6"/>
        <v>5.8076364061848774E-2</v>
      </c>
    </row>
    <row r="36" spans="2:3">
      <c r="B36" s="22">
        <v>0.3</v>
      </c>
      <c r="C36" s="25">
        <f t="shared" si="6"/>
        <v>6.9391221957620625E-2</v>
      </c>
    </row>
    <row r="37" spans="2:3">
      <c r="B37" s="22">
        <v>0.32</v>
      </c>
      <c r="C37" s="25">
        <f t="shared" si="6"/>
        <v>8.1963150268266852E-2</v>
      </c>
    </row>
    <row r="38" spans="2:3">
      <c r="B38" s="22">
        <v>0.34</v>
      </c>
      <c r="C38" s="25">
        <f t="shared" si="6"/>
        <v>9.5840110140021362E-2</v>
      </c>
    </row>
    <row r="39" spans="2:3">
      <c r="B39" s="22">
        <v>0.36</v>
      </c>
      <c r="C39" s="25">
        <f t="shared" si="6"/>
        <v>0.11106881801065087</v>
      </c>
    </row>
    <row r="40" spans="2:3">
      <c r="B40" s="22">
        <v>0.38</v>
      </c>
      <c r="C40" s="25">
        <f t="shared" si="6"/>
        <v>0.12769484857347996</v>
      </c>
    </row>
    <row r="41" spans="2:3">
      <c r="B41" s="22">
        <v>0.4</v>
      </c>
      <c r="C41" s="25">
        <f t="shared" si="6"/>
        <v>0.14576272401257673</v>
      </c>
    </row>
    <row r="42" spans="2:3">
      <c r="B42" s="22">
        <v>0.42</v>
      </c>
      <c r="C42" s="25">
        <f t="shared" si="6"/>
        <v>0.16531599196298566</v>
      </c>
    </row>
    <row r="43" spans="2:3">
      <c r="B43" s="22">
        <v>0.44</v>
      </c>
      <c r="C43" s="25">
        <f t="shared" si="6"/>
        <v>0.18639729411079389</v>
      </c>
    </row>
    <row r="44" spans="2:3">
      <c r="B44" s="22">
        <v>0.46</v>
      </c>
      <c r="C44" s="25">
        <f t="shared" si="6"/>
        <v>0.20904842694716996</v>
      </c>
    </row>
    <row r="45" spans="2:3">
      <c r="B45" s="22">
        <v>0.48</v>
      </c>
      <c r="C45" s="25">
        <f t="shared" si="6"/>
        <v>0.23331039588807301</v>
      </c>
    </row>
    <row r="46" spans="2:3">
      <c r="B46" s="22">
        <v>0.5</v>
      </c>
      <c r="C46" s="25">
        <f t="shared" si="6"/>
        <v>0.25922346373980926</v>
      </c>
    </row>
    <row r="47" spans="2:3">
      <c r="B47" s="22">
        <v>0.52</v>
      </c>
      <c r="C47" s="25">
        <f t="shared" si="6"/>
        <v>0.28682719431110998</v>
      </c>
    </row>
    <row r="48" spans="2:3">
      <c r="B48" s="22">
        <v>0.54</v>
      </c>
      <c r="C48" s="25">
        <f t="shared" si="6"/>
        <v>0.31616049183163297</v>
      </c>
    </row>
    <row r="49" spans="2:3">
      <c r="B49" s="22">
        <v>0.56000000000000005</v>
      </c>
      <c r="C49" s="25">
        <f t="shared" si="6"/>
        <v>0.34726163672521515</v>
      </c>
    </row>
    <row r="50" spans="2:3">
      <c r="B50" s="22">
        <v>0.57999999999999996</v>
      </c>
      <c r="C50" s="25">
        <f t="shared" si="6"/>
        <v>0.38016831819691932</v>
      </c>
    </row>
    <row r="51" spans="2:3" ht="15.75" thickBot="1">
      <c r="B51" s="23">
        <v>0.6</v>
      </c>
      <c r="C51" s="26">
        <f t="shared" si="6"/>
        <v>0.4149176640208378</v>
      </c>
    </row>
  </sheetData>
  <mergeCells count="5">
    <mergeCell ref="H7:L7"/>
    <mergeCell ref="B2:C2"/>
    <mergeCell ref="B7:F7"/>
    <mergeCell ref="B18:C18"/>
    <mergeCell ref="B19:C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C4DB-F457-455A-8D27-EF7CF7D8F585}">
  <dimension ref="B1:I55"/>
  <sheetViews>
    <sheetView workbookViewId="0">
      <selection activeCell="R24" sqref="R24"/>
    </sheetView>
  </sheetViews>
  <sheetFormatPr defaultRowHeight="15"/>
  <cols>
    <col min="2" max="2" width="14.5703125" bestFit="1" customWidth="1"/>
    <col min="3" max="3" width="10.5703125" customWidth="1"/>
    <col min="4" max="4" width="13.42578125" customWidth="1"/>
    <col min="5" max="5" width="10.28515625" customWidth="1"/>
    <col min="6" max="6" width="9.5703125" customWidth="1"/>
  </cols>
  <sheetData>
    <row r="1" spans="2:6" ht="15.75" thickBot="1"/>
    <row r="2" spans="2:6" ht="15.75" thickBot="1">
      <c r="B2" s="46" t="s">
        <v>0</v>
      </c>
      <c r="C2" s="47"/>
    </row>
    <row r="3" spans="2:6">
      <c r="B3" s="17" t="s">
        <v>18</v>
      </c>
      <c r="C3" s="18">
        <v>0.01</v>
      </c>
    </row>
    <row r="4" spans="2:6">
      <c r="B4" s="19" t="s">
        <v>2</v>
      </c>
      <c r="C4" s="42">
        <f>CONVERT(C3/100,"m","ft")</f>
        <v>3.2808398950131233E-4</v>
      </c>
    </row>
    <row r="5" spans="2:6" ht="15.75" thickBot="1">
      <c r="B5" s="20" t="s">
        <v>3</v>
      </c>
      <c r="C5" s="4">
        <v>5.0000000000000001E-3</v>
      </c>
    </row>
    <row r="6" spans="2:6" ht="15.75" thickBot="1"/>
    <row r="7" spans="2:6" ht="15.75" thickBot="1">
      <c r="B7" s="43" t="s">
        <v>19</v>
      </c>
      <c r="C7" s="44"/>
      <c r="D7" s="44"/>
      <c r="E7" s="44"/>
      <c r="F7" s="45"/>
    </row>
    <row r="8" spans="2:6" ht="15.75" thickBot="1">
      <c r="B8" s="8" t="s">
        <v>20</v>
      </c>
      <c r="C8" s="5">
        <v>11.52</v>
      </c>
      <c r="D8" s="6"/>
      <c r="E8" s="28"/>
      <c r="F8" s="29"/>
    </row>
    <row r="9" spans="2:6" ht="30.75" thickBot="1">
      <c r="B9" s="9" t="s">
        <v>7</v>
      </c>
      <c r="C9" s="9" t="s">
        <v>8</v>
      </c>
      <c r="D9" s="9" t="s">
        <v>21</v>
      </c>
      <c r="E9" s="9" t="s">
        <v>10</v>
      </c>
      <c r="F9" s="10" t="s">
        <v>11</v>
      </c>
    </row>
    <row r="10" spans="2:6">
      <c r="B10" s="11">
        <v>0.02</v>
      </c>
      <c r="C10" s="13">
        <f t="shared" ref="C10:C19" si="0">(B10/1.55)^(1/2.58)</f>
        <v>0.18523050826228751</v>
      </c>
      <c r="D10" s="11">
        <v>17.79</v>
      </c>
      <c r="E10" s="13">
        <f t="shared" ref="E10:E19" si="1">CONVERT((D10-$C$8)/100,"m","ft")</f>
        <v>0.2057086614173228</v>
      </c>
      <c r="F10" s="30">
        <f t="shared" ref="F10:F19" si="2">(E10-C10)^2</f>
        <v>4.1935475664108175E-4</v>
      </c>
    </row>
    <row r="11" spans="2:6">
      <c r="B11" s="12">
        <v>0.04</v>
      </c>
      <c r="C11" s="14">
        <f t="shared" si="0"/>
        <v>0.24232086538821512</v>
      </c>
      <c r="D11" s="12">
        <v>19.18</v>
      </c>
      <c r="E11" s="14">
        <f t="shared" si="1"/>
        <v>0.25131233595800523</v>
      </c>
      <c r="F11" s="31">
        <f t="shared" si="2"/>
        <v>8.0846543007401608E-5</v>
      </c>
    </row>
    <row r="12" spans="2:6">
      <c r="B12" s="12">
        <v>0.06</v>
      </c>
      <c r="C12" s="14">
        <f t="shared" si="0"/>
        <v>0.28355887019553933</v>
      </c>
      <c r="D12" s="12">
        <v>20.48</v>
      </c>
      <c r="E12" s="14">
        <f t="shared" si="1"/>
        <v>0.2939632545931759</v>
      </c>
      <c r="F12" s="31">
        <f t="shared" si="2"/>
        <v>1.0825121469378348E-4</v>
      </c>
    </row>
    <row r="13" spans="2:6">
      <c r="B13" s="12">
        <v>0.08</v>
      </c>
      <c r="C13" s="14">
        <f t="shared" si="0"/>
        <v>0.31700718393185223</v>
      </c>
      <c r="D13" s="12">
        <v>21.45</v>
      </c>
      <c r="E13" s="14">
        <f t="shared" si="1"/>
        <v>0.32578740157480313</v>
      </c>
      <c r="F13" s="31">
        <f t="shared" si="2"/>
        <v>7.7092221857586149E-5</v>
      </c>
    </row>
    <row r="14" spans="2:6">
      <c r="B14" s="12">
        <v>0.1</v>
      </c>
      <c r="C14" s="14">
        <f t="shared" si="0"/>
        <v>0.34564567319635447</v>
      </c>
      <c r="D14" s="12">
        <v>22.25</v>
      </c>
      <c r="E14" s="14">
        <f t="shared" si="1"/>
        <v>0.3520341207349082</v>
      </c>
      <c r="F14" s="31">
        <f t="shared" si="2"/>
        <v>4.0812261952853094E-5</v>
      </c>
    </row>
    <row r="15" spans="2:6">
      <c r="B15" s="12">
        <v>0.15</v>
      </c>
      <c r="C15" s="14">
        <f t="shared" si="0"/>
        <v>0.40446742554552423</v>
      </c>
      <c r="D15" s="12">
        <v>24.03</v>
      </c>
      <c r="E15" s="14">
        <f t="shared" si="1"/>
        <v>0.41043307086614184</v>
      </c>
      <c r="F15" s="31">
        <f t="shared" si="2"/>
        <v>3.5588924091406754E-5</v>
      </c>
    </row>
    <row r="16" spans="2:6">
      <c r="B16" s="12">
        <v>0.2</v>
      </c>
      <c r="C16" s="14">
        <f t="shared" si="0"/>
        <v>0.45217798856348301</v>
      </c>
      <c r="D16" s="12">
        <v>25.42</v>
      </c>
      <c r="E16" s="14">
        <f t="shared" si="1"/>
        <v>0.45603674540682421</v>
      </c>
      <c r="F16" s="31">
        <f t="shared" si="2"/>
        <v>1.4890004376032492E-5</v>
      </c>
    </row>
    <row r="17" spans="2:9">
      <c r="B17" s="12">
        <v>0.25</v>
      </c>
      <c r="C17" s="14">
        <f t="shared" si="0"/>
        <v>0.49302783401652273</v>
      </c>
      <c r="D17" s="12">
        <v>26.51</v>
      </c>
      <c r="E17" s="14">
        <f t="shared" si="1"/>
        <v>0.49179790026246728</v>
      </c>
      <c r="F17" s="31">
        <f t="shared" si="2"/>
        <v>1.5127370393649212E-6</v>
      </c>
    </row>
    <row r="18" spans="2:9">
      <c r="B18" s="12">
        <v>0.3</v>
      </c>
      <c r="C18" s="14">
        <f t="shared" si="0"/>
        <v>0.52912933997217604</v>
      </c>
      <c r="D18" s="12">
        <v>27.58</v>
      </c>
      <c r="E18" s="14">
        <f t="shared" si="1"/>
        <v>0.5269028871391076</v>
      </c>
      <c r="F18" s="31">
        <f t="shared" si="2"/>
        <v>4.957092217878471E-6</v>
      </c>
    </row>
    <row r="19" spans="2:9" ht="15.75" thickBot="1">
      <c r="B19" s="16">
        <v>0.32</v>
      </c>
      <c r="C19" s="15">
        <f t="shared" si="0"/>
        <v>0.54253241330042523</v>
      </c>
      <c r="D19" s="16">
        <v>27.93</v>
      </c>
      <c r="E19" s="15">
        <f t="shared" si="1"/>
        <v>0.53838582677165359</v>
      </c>
      <c r="F19" s="32">
        <f t="shared" si="2"/>
        <v>1.7194179840590484E-5</v>
      </c>
    </row>
    <row r="20" spans="2:9" ht="15.75" thickBot="1">
      <c r="B20" s="1"/>
      <c r="C20" s="1"/>
      <c r="D20" s="1"/>
      <c r="E20" s="20" t="s">
        <v>12</v>
      </c>
      <c r="F20" s="33">
        <f>SQRT(AVERAGE(F10:F19))</f>
        <v>8.9470661991402477E-3</v>
      </c>
    </row>
    <row r="21" spans="2:9" ht="15.75" thickBot="1">
      <c r="E21" s="20" t="s">
        <v>13</v>
      </c>
      <c r="F21" s="35">
        <f>SUM(F10:F19)</f>
        <v>8.004999357179791E-4</v>
      </c>
      <c r="I21" s="34"/>
    </row>
    <row r="22" spans="2:9" ht="15.75" thickBot="1">
      <c r="B22" s="48" t="s">
        <v>14</v>
      </c>
      <c r="C22" s="49"/>
    </row>
    <row r="23" spans="2:9" ht="15.75" thickBot="1">
      <c r="B23" s="50" t="s">
        <v>15</v>
      </c>
      <c r="C23" s="51"/>
    </row>
    <row r="24" spans="2:9" ht="15.75" thickBot="1">
      <c r="B24" s="17" t="s">
        <v>16</v>
      </c>
      <c r="C24" s="27" t="s">
        <v>17</v>
      </c>
    </row>
    <row r="25" spans="2:9">
      <c r="B25" s="21">
        <v>0</v>
      </c>
      <c r="C25" s="24">
        <f>1.55*B25^2.58</f>
        <v>0</v>
      </c>
    </row>
    <row r="26" spans="2:9">
      <c r="B26" s="22">
        <v>0.02</v>
      </c>
      <c r="C26" s="25">
        <f t="shared" ref="C26:C55" si="3">1.55*B26^2.58</f>
        <v>6.411934643775419E-5</v>
      </c>
    </row>
    <row r="27" spans="2:9">
      <c r="B27" s="22">
        <v>0.04</v>
      </c>
      <c r="C27" s="25">
        <f t="shared" si="3"/>
        <v>3.8339502738176122E-4</v>
      </c>
    </row>
    <row r="28" spans="2:9">
      <c r="B28" s="22">
        <v>0.06</v>
      </c>
      <c r="C28" s="25">
        <f t="shared" si="3"/>
        <v>1.0913446509460117E-3</v>
      </c>
    </row>
    <row r="29" spans="2:9">
      <c r="B29" s="22">
        <v>0.08</v>
      </c>
      <c r="C29" s="25">
        <f t="shared" si="3"/>
        <v>2.2924710744479868E-3</v>
      </c>
    </row>
    <row r="30" spans="2:9">
      <c r="B30" s="22">
        <v>0.1</v>
      </c>
      <c r="C30" s="25">
        <f t="shared" si="3"/>
        <v>4.0769153874378444E-3</v>
      </c>
    </row>
    <row r="31" spans="2:9">
      <c r="B31" s="22">
        <v>0.12</v>
      </c>
      <c r="C31" s="25">
        <f t="shared" si="3"/>
        <v>6.525582925873622E-3</v>
      </c>
    </row>
    <row r="32" spans="2:9">
      <c r="B32" s="22">
        <v>0.14000000000000001</v>
      </c>
      <c r="C32" s="25">
        <f t="shared" si="3"/>
        <v>9.7127459700171691E-3</v>
      </c>
    </row>
    <row r="33" spans="2:3">
      <c r="B33" s="22">
        <v>0.16</v>
      </c>
      <c r="C33" s="25">
        <f t="shared" si="3"/>
        <v>1.3707594652623608E-2</v>
      </c>
    </row>
    <row r="34" spans="2:3">
      <c r="B34" s="22">
        <v>0.18</v>
      </c>
      <c r="C34" s="25">
        <f t="shared" si="3"/>
        <v>1.8575254011746728E-2</v>
      </c>
    </row>
    <row r="35" spans="2:3">
      <c r="B35" s="22">
        <v>0.2</v>
      </c>
      <c r="C35" s="25">
        <f t="shared" si="3"/>
        <v>2.4377495614638721E-2</v>
      </c>
    </row>
    <row r="36" spans="2:3">
      <c r="B36" s="22">
        <v>0.22</v>
      </c>
      <c r="C36" s="25">
        <f t="shared" si="3"/>
        <v>3.1173259491050275E-2</v>
      </c>
    </row>
    <row r="37" spans="2:3">
      <c r="B37" s="22">
        <v>0.24</v>
      </c>
      <c r="C37" s="25">
        <f t="shared" si="3"/>
        <v>3.9019050934588635E-2</v>
      </c>
    </row>
    <row r="38" spans="2:3">
      <c r="B38" s="22">
        <v>0.26</v>
      </c>
      <c r="C38" s="25">
        <f t="shared" si="3"/>
        <v>4.7969250841353041E-2</v>
      </c>
    </row>
    <row r="39" spans="2:3">
      <c r="B39" s="22">
        <v>0.28000000000000003</v>
      </c>
      <c r="C39" s="25">
        <f t="shared" si="3"/>
        <v>5.8076364061848774E-2</v>
      </c>
    </row>
    <row r="40" spans="2:3">
      <c r="B40" s="22">
        <v>0.3</v>
      </c>
      <c r="C40" s="25">
        <f t="shared" si="3"/>
        <v>6.9391221957620625E-2</v>
      </c>
    </row>
    <row r="41" spans="2:3">
      <c r="B41" s="22">
        <v>0.32</v>
      </c>
      <c r="C41" s="25">
        <f t="shared" si="3"/>
        <v>8.1963150268266852E-2</v>
      </c>
    </row>
    <row r="42" spans="2:3">
      <c r="B42" s="22">
        <v>0.34</v>
      </c>
      <c r="C42" s="25">
        <f t="shared" si="3"/>
        <v>9.5840110140021362E-2</v>
      </c>
    </row>
    <row r="43" spans="2:3">
      <c r="B43" s="22">
        <v>0.36</v>
      </c>
      <c r="C43" s="25">
        <f t="shared" si="3"/>
        <v>0.11106881801065087</v>
      </c>
    </row>
    <row r="44" spans="2:3">
      <c r="B44" s="22">
        <v>0.38</v>
      </c>
      <c r="C44" s="25">
        <f t="shared" si="3"/>
        <v>0.12769484857347996</v>
      </c>
    </row>
    <row r="45" spans="2:3">
      <c r="B45" s="22">
        <v>0.4</v>
      </c>
      <c r="C45" s="25">
        <f t="shared" si="3"/>
        <v>0.14576272401257673</v>
      </c>
    </row>
    <row r="46" spans="2:3">
      <c r="B46" s="22">
        <v>0.42</v>
      </c>
      <c r="C46" s="25">
        <f t="shared" si="3"/>
        <v>0.16531599196298566</v>
      </c>
    </row>
    <row r="47" spans="2:3">
      <c r="B47" s="22">
        <v>0.44</v>
      </c>
      <c r="C47" s="25">
        <f t="shared" si="3"/>
        <v>0.18639729411079389</v>
      </c>
    </row>
    <row r="48" spans="2:3">
      <c r="B48" s="22">
        <v>0.46</v>
      </c>
      <c r="C48" s="25">
        <f t="shared" si="3"/>
        <v>0.20904842694716996</v>
      </c>
    </row>
    <row r="49" spans="2:3">
      <c r="B49" s="22">
        <v>0.48</v>
      </c>
      <c r="C49" s="25">
        <f t="shared" si="3"/>
        <v>0.23331039588807301</v>
      </c>
    </row>
    <row r="50" spans="2:3">
      <c r="B50" s="22">
        <v>0.5</v>
      </c>
      <c r="C50" s="25">
        <f t="shared" si="3"/>
        <v>0.25922346373980926</v>
      </c>
    </row>
    <row r="51" spans="2:3">
      <c r="B51" s="22">
        <v>0.52</v>
      </c>
      <c r="C51" s="25">
        <f t="shared" si="3"/>
        <v>0.28682719431110998</v>
      </c>
    </row>
    <row r="52" spans="2:3">
      <c r="B52" s="22">
        <v>0.54</v>
      </c>
      <c r="C52" s="25">
        <f t="shared" si="3"/>
        <v>0.31616049183163297</v>
      </c>
    </row>
    <row r="53" spans="2:3">
      <c r="B53" s="22">
        <v>0.56000000000000005</v>
      </c>
      <c r="C53" s="25">
        <f t="shared" si="3"/>
        <v>0.34726163672521515</v>
      </c>
    </row>
    <row r="54" spans="2:3">
      <c r="B54" s="22">
        <v>0.57999999999999996</v>
      </c>
      <c r="C54" s="25">
        <f t="shared" si="3"/>
        <v>0.38016831819691932</v>
      </c>
    </row>
    <row r="55" spans="2:3" ht="15.75" thickBot="1">
      <c r="B55" s="23">
        <v>0.6</v>
      </c>
      <c r="C55" s="26">
        <f t="shared" si="3"/>
        <v>0.4149176640208378</v>
      </c>
    </row>
  </sheetData>
  <mergeCells count="4">
    <mergeCell ref="B2:C2"/>
    <mergeCell ref="B23:C23"/>
    <mergeCell ref="B22:C22"/>
    <mergeCell ref="B7:F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8885db-b23a-4ab9-857e-443224b79c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5570F5CE5AA3458866B93D69FFE3C1" ma:contentTypeVersion="19" ma:contentTypeDescription="Create a new document." ma:contentTypeScope="" ma:versionID="d44cc85cd438149e719e50fcaa2017da">
  <xsd:schema xmlns:xsd="http://www.w3.org/2001/XMLSchema" xmlns:xs="http://www.w3.org/2001/XMLSchema" xmlns:p="http://schemas.microsoft.com/office/2006/metadata/properties" xmlns:ns3="c18885db-b23a-4ab9-857e-443224b79c26" xmlns:ns4="1255b0f0-8c1b-44ec-8f47-a39e049da051" targetNamespace="http://schemas.microsoft.com/office/2006/metadata/properties" ma:root="true" ma:fieldsID="f42cb373a5ea0d2e53184721f5bc8ce5" ns3:_="" ns4:_="">
    <xsd:import namespace="c18885db-b23a-4ab9-857e-443224b79c26"/>
    <xsd:import namespace="1255b0f0-8c1b-44ec-8f47-a39e049da0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885db-b23a-4ab9-857e-443224b79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5b0f0-8c1b-44ec-8f47-a39e049da05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D8F1A3-5FB1-44A0-9F87-19670CDC7B39}"/>
</file>

<file path=customXml/itemProps2.xml><?xml version="1.0" encoding="utf-8"?>
<ds:datastoreItem xmlns:ds="http://schemas.openxmlformats.org/officeDocument/2006/customXml" ds:itemID="{C563CAC6-D2A1-4798-BBF2-26B1E022D1E0}"/>
</file>

<file path=customXml/itemProps3.xml><?xml version="1.0" encoding="utf-8"?>
<ds:datastoreItem xmlns:ds="http://schemas.openxmlformats.org/officeDocument/2006/customXml" ds:itemID="{F796D16B-6D8E-46EB-94B4-DEEC2C9C17F9}"/>
</file>

<file path=docMetadata/LabelInfo.xml><?xml version="1.0" encoding="utf-8"?>
<clbl:labelList xmlns:clbl="http://schemas.microsoft.com/office/2020/mipLabelMetadata">
  <clbl:label id="{afb58802-ff7a-4bb1-ab21-367ff2ecfc8b}" enabled="0" method="" siteId="{afb58802-ff7a-4bb1-ab21-367ff2ecfc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Colorado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Schaub</dc:creator>
  <cp:keywords/>
  <dc:description/>
  <cp:lastModifiedBy/>
  <cp:revision/>
  <dcterms:created xsi:type="dcterms:W3CDTF">2026-09-17T16:20:21Z</dcterms:created>
  <dcterms:modified xsi:type="dcterms:W3CDTF">2026-10-05T19:55:32Z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0x010100675570F5CE5AA3458866B93D69FFE3C1</vt:lpwstr>
  </property>
</Properties>
</file>